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5310ED0E-7AE6-4FEC-9CD5-188CFCE9DA24}" xr6:coauthVersionLast="47" xr6:coauthVersionMax="47" xr10:uidLastSave="{00000000-0000-0000-0000-000000000000}"/>
  <bookViews>
    <workbookView xWindow="-120" yWindow="-120" windowWidth="29040" windowHeight="17520" activeTab="1" xr2:uid="{CCC72A03-CF30-4082-8F4C-6D5E4BC96001}"/>
  </bookViews>
  <sheets>
    <sheet name="How to Use" sheetId="2" r:id="rId1"/>
    <sheet name="Shifts Scheduling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9" i="1" l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7" i="1"/>
  <c r="M18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40" i="1" l="1"/>
  <c r="N23" i="1" s="1"/>
  <c r="B10" i="1" a="1"/>
  <c r="B10" i="1" s="1"/>
  <c r="N38" i="1" l="1"/>
  <c r="N30" i="1"/>
  <c r="N25" i="1"/>
  <c r="N39" i="1"/>
  <c r="N27" i="1"/>
  <c r="N34" i="1"/>
  <c r="N33" i="1"/>
  <c r="N32" i="1"/>
  <c r="N31" i="1"/>
  <c r="N26" i="1"/>
  <c r="N35" i="1"/>
  <c r="N28" i="1"/>
  <c r="N24" i="1"/>
  <c r="N29" i="1"/>
  <c r="N37" i="1"/>
  <c r="N36" i="1"/>
  <c r="N15" i="1"/>
  <c r="N20" i="1" l="1"/>
  <c r="N3" i="1"/>
  <c r="N8" i="1"/>
  <c r="N7" i="1"/>
  <c r="N22" i="1"/>
  <c r="N10" i="1"/>
  <c r="N14" i="1"/>
  <c r="N19" i="1"/>
  <c r="N21" i="1"/>
  <c r="N18" i="1"/>
  <c r="N17" i="1"/>
  <c r="N12" i="1"/>
  <c r="N16" i="1"/>
  <c r="N13" i="1"/>
  <c r="N9" i="1"/>
  <c r="N6" i="1"/>
  <c r="N5" i="1"/>
  <c r="N11" i="1"/>
  <c r="N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<sst xmlns="http://schemas.openxmlformats.org/spreadsheetml/2006/main" count="152" uniqueCount="63">
  <si>
    <t>Target courier number</t>
  </si>
  <si>
    <t>Max scheduled couriers </t>
  </si>
  <si>
    <t>Maximum Capacity</t>
  </si>
  <si>
    <t>Scheduled Couriers</t>
  </si>
  <si>
    <t>Totsl Booked</t>
  </si>
  <si>
    <t>Remaining</t>
  </si>
  <si>
    <t>Shift Combination</t>
  </si>
  <si>
    <t>Booked Couriers</t>
  </si>
  <si>
    <t>Total</t>
  </si>
  <si>
    <r>
      <t xml:space="preserve">                              </t>
    </r>
    <r>
      <rPr>
        <b/>
        <u/>
        <sz val="26"/>
        <color theme="1"/>
        <rFont val="Aptos Narrow"/>
        <family val="2"/>
        <scheme val="minor"/>
      </rPr>
      <t>Shifts Scheduling Tool</t>
    </r>
  </si>
  <si>
    <r>
      <t xml:space="preserve">How to Enable Macros
</t>
    </r>
    <r>
      <rPr>
        <sz val="11"/>
        <color theme="1"/>
        <rFont val="Aptos Narrow"/>
        <family val="2"/>
        <scheme val="minor"/>
      </rPr>
      <t xml:space="preserve">     Go to </t>
    </r>
    <r>
      <rPr>
        <b/>
        <sz val="11"/>
        <color theme="1"/>
        <rFont val="Aptos Narrow"/>
        <family val="2"/>
        <scheme val="minor"/>
      </rPr>
      <t>File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Options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Trust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Center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Trust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Center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Settings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Macro</t>
    </r>
    <r>
      <rPr>
        <sz val="11"/>
        <color theme="1"/>
        <rFont val="Aptos Narrow"/>
        <family val="2"/>
        <scheme val="minor"/>
      </rPr>
      <t xml:space="preserve"> </t>
    </r>
    <r>
      <rPr>
        <b/>
        <sz val="11"/>
        <color theme="1"/>
        <rFont val="Aptos Narrow"/>
        <family val="2"/>
        <scheme val="minor"/>
      </rPr>
      <t>Settings</t>
    </r>
    <r>
      <rPr>
        <b/>
        <u/>
        <sz val="11"/>
        <color theme="1"/>
        <rFont val="Aptos Narrow"/>
        <family val="2"/>
        <scheme val="minor"/>
      </rPr>
      <t xml:space="preserve">
</t>
    </r>
    <r>
      <rPr>
        <sz val="11"/>
        <color theme="1"/>
        <rFont val="Aptos Narrow"/>
        <family val="2"/>
        <scheme val="minor"/>
      </rPr>
      <t>Choose:
“</t>
    </r>
    <r>
      <rPr>
        <b/>
        <sz val="11"/>
        <color theme="1"/>
        <rFont val="Aptos Narrow"/>
        <family val="2"/>
        <scheme val="minor"/>
      </rPr>
      <t>Disable VBA macros with notification</t>
    </r>
    <r>
      <rPr>
        <sz val="11"/>
        <color theme="1"/>
        <rFont val="Aptos Narrow"/>
        <family val="2"/>
        <scheme val="minor"/>
      </rPr>
      <t>”
Press</t>
    </r>
    <r>
      <rPr>
        <b/>
        <sz val="11"/>
        <color theme="1"/>
        <rFont val="Aptos Narrow"/>
        <family val="2"/>
        <scheme val="minor"/>
      </rPr>
      <t xml:space="preserve"> OK, OK</t>
    </r>
    <r>
      <rPr>
        <b/>
        <u/>
        <sz val="11"/>
        <color theme="1"/>
        <rFont val="Aptos Narrow"/>
        <family val="2"/>
        <scheme val="minor"/>
      </rPr>
      <t xml:space="preserve">
</t>
    </r>
  </si>
  <si>
    <t>00:00～01:59</t>
  </si>
  <si>
    <t>02:00～03:59</t>
  </si>
  <si>
    <t>04:00～9:59</t>
  </si>
  <si>
    <t>10:00～15:59</t>
  </si>
  <si>
    <t>16:00～17:59</t>
  </si>
  <si>
    <t>18:00～19:59</t>
  </si>
  <si>
    <t>20:00～21:59</t>
  </si>
  <si>
    <t>22:00～23:59</t>
  </si>
  <si>
    <t>00:00–01:59 + 02:00–03:59 + 04:00–09:59</t>
  </si>
  <si>
    <t>00:00–01:59 + 02:00–03:59 + 10:00–15:59</t>
  </si>
  <si>
    <t>02:00–03:59 + 16:00–17:59 + 18:00–19:59 + 20:00–21:59 + 22:00–23:59</t>
  </si>
  <si>
    <t>00:00–01:59 + 16:00–17:59 + 18:00–19:59 + 20:00–21:59 + 22:00–23:59</t>
  </si>
  <si>
    <t>00:00–01:59 + 02:00–03:59 + 18:00–19:59 + 20:00–21:59 + 22:00–23:59</t>
  </si>
  <si>
    <t>00:00–01:59 + 02:00–03:59 + 16:00–17:59 + 20:00–21:59 + 22:00–23:59</t>
  </si>
  <si>
    <t>00:00–01:59 + 02:00–03:59 + 16:00–17:59 + 18:00–19:59 + 22:00–23:59</t>
  </si>
  <si>
    <t>00:00–01:59 + 02:00–03:59 + 16:00–17:59 + 18:00–19:59 + 20:00–21:59</t>
  </si>
  <si>
    <t>04:00–09:59 + 10:00–15:59</t>
  </si>
  <si>
    <t>00:00–01:59 + 10:00–15:59 + 16:00–17:59</t>
  </si>
  <si>
    <t>00:00–01:59 + 04:00–09:59 + 16:00–17:59</t>
  </si>
  <si>
    <t>00:00–01:59 + 04:00–09:59 + 18:00–19:59</t>
  </si>
  <si>
    <t>00:00–01:59 + 10:00–15:59 + 18:00–19:59</t>
  </si>
  <si>
    <t>00:00–01:59 + 04:00–09:59 + 20:00–21:59</t>
  </si>
  <si>
    <t>00:00–01:59 + 10:00–15:59 + 20:00–21:59</t>
  </si>
  <si>
    <t>00:00–01:59 + 04:00–09:59 + 22:00–23:59</t>
  </si>
  <si>
    <t>00:00–01:59 + 10:00–15:59 + 22:00–23:59</t>
  </si>
  <si>
    <t>02:00–03:59 + 04:00–09:59 + 16:00–17:59</t>
  </si>
  <si>
    <t>02:00–03:59 + 10:00–15:59 + 16:00–17:59</t>
  </si>
  <si>
    <t>02:00–03:59 + 04:00–09:59 + 18:00–19:59</t>
  </si>
  <si>
    <t>02:00–03:59 + 10:00–15:59 + 18:00–19:59</t>
  </si>
  <si>
    <t>02:00–03:59 + 04:00–09:59 + 20:00–21:59</t>
  </si>
  <si>
    <t>02:00–03:59 + 10:00–15:59 + 20:00–21:59</t>
  </si>
  <si>
    <t>02:00–03:59 + 04:00–09:59 + 22:00–23:59</t>
  </si>
  <si>
    <t>02:00–03:59 + 10:00–15:59 + 22:00–23:59</t>
  </si>
  <si>
    <t>04:00–09:59 + 16:00–17:59 + 18:00–19:59</t>
  </si>
  <si>
    <t>10:00–15:59 + 16:00–17:59 + 18:00–19:59</t>
  </si>
  <si>
    <t>04:00–09:59 + 16:00–17:59 + 20:00–21:59</t>
  </si>
  <si>
    <t>10:00–15:59 + 16:00–17:59 + 20:00–21:59</t>
  </si>
  <si>
    <t>04:00–09:59 + 16:00–17:59 + 22:00–23:59</t>
  </si>
  <si>
    <t>10:00–15:59 + 16:00–17:59 + 22:00–23:59</t>
  </si>
  <si>
    <t>04:00–09:59 + 18:00–19:59 + 20:00–21:59</t>
  </si>
  <si>
    <t>10:00–15:59 + 18:00–19:59 + 20:00–21:59</t>
  </si>
  <si>
    <t>04:00–09:59 + 18:00–19:59 + 22:00–23:59</t>
  </si>
  <si>
    <t>10:00–15:59 + 18:00–19:59 + 22:00–23:59</t>
  </si>
  <si>
    <t>04:00–09:59 + 20:00–21:59 + 22:00–23:59</t>
  </si>
  <si>
    <t>10:00–15:59 + 20:00–21:59 + 22:00–23:59</t>
  </si>
  <si>
    <r>
      <rPr>
        <b/>
        <sz val="11"/>
        <color theme="1"/>
        <rFont val="Aptos Narrow"/>
        <family val="2"/>
        <scheme val="minor"/>
      </rPr>
      <t>5- Read the Results:</t>
    </r>
    <r>
      <rPr>
        <sz val="11"/>
        <color theme="1"/>
        <rFont val="Aptos Narrow"/>
        <family val="2"/>
        <scheme val="minor"/>
      </rPr>
      <t xml:space="preserve">
   * Row </t>
    </r>
    <r>
      <rPr>
        <b/>
        <sz val="11"/>
        <color theme="1"/>
        <rFont val="Aptos Narrow"/>
        <family val="2"/>
        <scheme val="minor"/>
      </rPr>
      <t>5</t>
    </r>
    <r>
      <rPr>
        <sz val="11"/>
        <color theme="1"/>
        <rFont val="Aptos Narrow"/>
        <family val="2"/>
        <scheme val="minor"/>
      </rPr>
      <t xml:space="preserve"> (</t>
    </r>
    <r>
      <rPr>
        <b/>
        <sz val="11"/>
        <color theme="1"/>
        <rFont val="Aptos Narrow"/>
        <family val="2"/>
        <scheme val="minor"/>
      </rPr>
      <t>Total Booked</t>
    </r>
    <r>
      <rPr>
        <sz val="11"/>
        <color theme="1"/>
        <rFont val="Aptos Narrow"/>
        <family val="2"/>
        <scheme val="minor"/>
      </rPr>
      <t xml:space="preserve">): Shows how many couriers were successfully booked per slot
   * Row </t>
    </r>
    <r>
      <rPr>
        <b/>
        <sz val="11"/>
        <color theme="1"/>
        <rFont val="Aptos Narrow"/>
        <family val="2"/>
        <scheme val="minor"/>
      </rPr>
      <t>6</t>
    </r>
    <r>
      <rPr>
        <sz val="11"/>
        <color theme="1"/>
        <rFont val="Aptos Narrow"/>
        <family val="2"/>
        <scheme val="minor"/>
      </rPr>
      <t xml:space="preserve"> (</t>
    </r>
    <r>
      <rPr>
        <b/>
        <sz val="11"/>
        <color theme="1"/>
        <rFont val="Aptos Narrow"/>
        <family val="2"/>
        <scheme val="minor"/>
      </rPr>
      <t>Remaining</t>
    </r>
    <r>
      <rPr>
        <sz val="11"/>
        <color theme="1"/>
        <rFont val="Aptos Narrow"/>
        <family val="2"/>
        <scheme val="minor"/>
      </rPr>
      <t xml:space="preserve">): Displays how many courier spots are still open
   * From Row </t>
    </r>
    <r>
      <rPr>
        <b/>
        <sz val="11"/>
        <color theme="1"/>
        <rFont val="Aptos Narrow"/>
        <family val="2"/>
        <scheme val="minor"/>
      </rPr>
      <t>10 down</t>
    </r>
    <r>
      <rPr>
        <sz val="11"/>
        <color theme="1"/>
        <rFont val="Aptos Narrow"/>
        <family val="2"/>
        <scheme val="minor"/>
      </rPr>
      <t xml:space="preserve">: Lists each courier and their assigned shifts
   * </t>
    </r>
    <r>
      <rPr>
        <b/>
        <sz val="11"/>
        <color theme="1"/>
        <rFont val="Aptos Narrow"/>
        <family val="2"/>
        <scheme val="minor"/>
      </rPr>
      <t>Shift Combination:</t>
    </r>
    <r>
      <rPr>
        <sz val="11"/>
        <color theme="1"/>
        <rFont val="Aptos Narrow"/>
        <family val="2"/>
        <scheme val="minor"/>
      </rPr>
      <t xml:space="preserve"> Displays pairs of consecutive shifts
   * </t>
    </r>
    <r>
      <rPr>
        <b/>
        <sz val="11"/>
        <color theme="1"/>
        <rFont val="Aptos Narrow"/>
        <family val="2"/>
        <scheme val="minor"/>
      </rPr>
      <t>Booked Couriers:</t>
    </r>
    <r>
      <rPr>
        <sz val="11"/>
        <color theme="1"/>
        <rFont val="Aptos Narrow"/>
        <family val="2"/>
        <scheme val="minor"/>
      </rPr>
      <t xml:space="preserve"> Indicates how many couriers are assigned to that specific shift combination
   * </t>
    </r>
    <r>
      <rPr>
        <b/>
        <sz val="11"/>
        <color theme="1"/>
        <rFont val="Aptos Narrow"/>
        <family val="2"/>
        <scheme val="minor"/>
      </rPr>
      <t>Total:</t>
    </r>
    <r>
      <rPr>
        <sz val="11"/>
        <color theme="1"/>
        <rFont val="Aptos Narrow"/>
        <family val="2"/>
        <scheme val="minor"/>
      </rPr>
      <t xml:space="preserve"> Shows total couriers scheduled across all combinations (should match “Scheduled Couriers”)
</t>
    </r>
  </si>
  <si>
    <r>
      <t xml:space="preserve">Clear old Log if any:
</t>
    </r>
    <r>
      <rPr>
        <sz val="11"/>
        <color theme="1"/>
        <rFont val="Aptos Narrow"/>
        <family val="2"/>
        <scheme val="minor"/>
      </rPr>
      <t xml:space="preserve">   * Click the </t>
    </r>
    <r>
      <rPr>
        <b/>
        <sz val="11"/>
        <color theme="0" tint="-0.499984740745262"/>
        <rFont val="Aptos Narrow"/>
        <family val="2"/>
        <scheme val="minor"/>
      </rPr>
      <t>Clear</t>
    </r>
    <r>
      <rPr>
        <sz val="11"/>
        <color theme="1"/>
        <rFont val="Aptos Narrow"/>
        <family val="2"/>
        <scheme val="minor"/>
      </rPr>
      <t xml:space="preserve"> button
</t>
    </r>
    <r>
      <rPr>
        <b/>
        <sz val="11"/>
        <color theme="1"/>
        <rFont val="Aptos Narrow"/>
        <family val="2"/>
        <scheme val="minor"/>
      </rPr>
      <t>1- Set Slot Targets and Maximums:</t>
    </r>
    <r>
      <rPr>
        <sz val="11"/>
        <color theme="1"/>
        <rFont val="Aptos Narrow"/>
        <family val="2"/>
        <scheme val="minor"/>
      </rPr>
      <t xml:space="preserve">
   * Row 8 (</t>
    </r>
    <r>
      <rPr>
        <sz val="11"/>
        <color rgb="FFFFC000"/>
        <rFont val="Aptos Narrow"/>
        <family val="2"/>
        <scheme val="minor"/>
      </rPr>
      <t>yellow</t>
    </r>
    <r>
      <rPr>
        <sz val="11"/>
        <color theme="1"/>
        <rFont val="Aptos Narrow"/>
        <family val="2"/>
        <scheme val="minor"/>
      </rPr>
      <t>) → Target courier number "How many couriers you prefer to have in each time slot"
   * Row 9 (</t>
    </r>
    <r>
      <rPr>
        <sz val="11"/>
        <color rgb="FFFFC000"/>
        <rFont val="Aptos Narrow"/>
        <family val="2"/>
        <scheme val="minor"/>
      </rPr>
      <t>yellow</t>
    </r>
    <r>
      <rPr>
        <sz val="11"/>
        <color theme="1"/>
        <rFont val="Aptos Narrow"/>
        <family val="2"/>
        <scheme val="minor"/>
      </rPr>
      <t xml:space="preserve">) → Max scheduled couriers "The maximum number of couriers allowed in each slot (system will not exceed this)"
</t>
    </r>
    <r>
      <rPr>
        <b/>
        <sz val="11"/>
        <color theme="1"/>
        <rFont val="Aptos Narrow"/>
        <family val="2"/>
        <scheme val="minor"/>
      </rPr>
      <t xml:space="preserve">2- Calculate Max Couriers can be scheduled:
</t>
    </r>
    <r>
      <rPr>
        <sz val="11"/>
        <color theme="1"/>
        <rFont val="Aptos Narrow"/>
        <family val="2"/>
        <scheme val="minor"/>
      </rPr>
      <t xml:space="preserve">   * Click the </t>
    </r>
    <r>
      <rPr>
        <b/>
        <sz val="11"/>
        <color rgb="FF00B050"/>
        <rFont val="Aptos Narrow"/>
        <family val="2"/>
        <scheme val="minor"/>
      </rPr>
      <t>Maximum Capacity</t>
    </r>
    <r>
      <rPr>
        <sz val="11"/>
        <color theme="1"/>
        <rFont val="Aptos Narrow"/>
        <family val="2"/>
        <scheme val="minor"/>
      </rPr>
      <t xml:space="preserve"> button
          The system will automatically calculate Max. number of couriers that can be scheduled in</t>
    </r>
    <r>
      <rPr>
        <b/>
        <sz val="11"/>
        <color theme="1"/>
        <rFont val="Aptos Narrow"/>
        <family val="2"/>
        <scheme val="minor"/>
      </rPr>
      <t xml:space="preserve"> C2 </t>
    </r>
    <r>
      <rPr>
        <sz val="11"/>
        <color theme="1"/>
        <rFont val="Aptos Narrow"/>
        <family val="2"/>
        <scheme val="minor"/>
      </rPr>
      <t xml:space="preserve">
</t>
    </r>
    <r>
      <rPr>
        <b/>
        <sz val="11"/>
        <color theme="1"/>
        <rFont val="Aptos Narrow"/>
        <family val="2"/>
        <scheme val="minor"/>
      </rPr>
      <t>3- Set How Many Couriers to Schedule:</t>
    </r>
    <r>
      <rPr>
        <sz val="11"/>
        <color theme="1"/>
        <rFont val="Aptos Narrow"/>
        <family val="2"/>
        <scheme val="minor"/>
      </rPr>
      <t xml:space="preserve">
   * Go to cell </t>
    </r>
    <r>
      <rPr>
        <b/>
        <sz val="11"/>
        <color theme="1"/>
        <rFont val="Aptos Narrow"/>
        <family val="2"/>
        <scheme val="minor"/>
      </rPr>
      <t>C3</t>
    </r>
    <r>
      <rPr>
        <sz val="11"/>
        <color theme="1"/>
        <rFont val="Aptos Narrow"/>
        <family val="2"/>
        <scheme val="minor"/>
      </rPr>
      <t xml:space="preserve"> (</t>
    </r>
    <r>
      <rPr>
        <sz val="11"/>
        <color rgb="FFFFC000"/>
        <rFont val="Aptos Narrow"/>
        <family val="2"/>
        <scheme val="minor"/>
      </rPr>
      <t>yellow</t>
    </r>
    <r>
      <rPr>
        <sz val="11"/>
        <color theme="1"/>
        <rFont val="Aptos Narrow"/>
        <family val="2"/>
        <scheme val="minor"/>
      </rPr>
      <t>) (</t>
    </r>
    <r>
      <rPr>
        <b/>
        <sz val="11"/>
        <color theme="1"/>
        <rFont val="Aptos Narrow"/>
        <family val="2"/>
        <scheme val="minor"/>
      </rPr>
      <t>Scheduled Couriers</t>
    </r>
    <r>
      <rPr>
        <sz val="11"/>
        <color theme="1"/>
        <rFont val="Aptos Narrow"/>
        <family val="2"/>
        <scheme val="minor"/>
      </rPr>
      <t xml:space="preserve">)
   * Type the number of couriers you want to assign "This number must be less than or equal to </t>
    </r>
    <r>
      <rPr>
        <b/>
        <sz val="11"/>
        <color theme="1"/>
        <rFont val="Aptos Narrow"/>
        <family val="2"/>
        <scheme val="minor"/>
      </rPr>
      <t xml:space="preserve">Maximum Capacity </t>
    </r>
    <r>
      <rPr>
        <sz val="11"/>
        <color theme="1"/>
        <rFont val="Aptos Narrow"/>
        <family val="2"/>
        <scheme val="minor"/>
      </rPr>
      <t>(</t>
    </r>
    <r>
      <rPr>
        <b/>
        <sz val="11"/>
        <color theme="1"/>
        <rFont val="Aptos Narrow"/>
        <family val="2"/>
        <scheme val="minor"/>
      </rPr>
      <t>C2</t>
    </r>
    <r>
      <rPr>
        <sz val="11"/>
        <color theme="1"/>
        <rFont val="Aptos Narrow"/>
        <family val="2"/>
        <scheme val="minor"/>
      </rPr>
      <t>)"
4</t>
    </r>
    <r>
      <rPr>
        <b/>
        <sz val="11"/>
        <color theme="1"/>
        <rFont val="Aptos Narrow"/>
        <family val="2"/>
        <scheme val="minor"/>
      </rPr>
      <t xml:space="preserve">- Generate the Schedule:
           </t>
    </r>
    <r>
      <rPr>
        <sz val="11"/>
        <color theme="1"/>
        <rFont val="Aptos Narrow"/>
        <family val="2"/>
        <scheme val="minor"/>
      </rPr>
      <t xml:space="preserve">Once all inputs are ready:
   * Click the </t>
    </r>
    <r>
      <rPr>
        <b/>
        <sz val="11"/>
        <color rgb="FF00B050"/>
        <rFont val="Aptos Narrow"/>
        <family val="2"/>
        <scheme val="minor"/>
      </rPr>
      <t xml:space="preserve">Generate Schedule </t>
    </r>
    <r>
      <rPr>
        <sz val="11"/>
        <color theme="1"/>
        <rFont val="Aptos Narrow"/>
        <family val="2"/>
        <scheme val="minor"/>
      </rPr>
      <t xml:space="preserve">button
          The system will automatically assign shifts based on targets, limits, and courier count
</t>
    </r>
  </si>
  <si>
    <t>Shift 1</t>
  </si>
  <si>
    <t>Shift 2</t>
  </si>
  <si>
    <t>Shift 3</t>
  </si>
  <si>
    <t>Shift 4</t>
  </si>
  <si>
    <t>Shift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</si>
</sst>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26"/>
      <color theme="1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theme="0" tint="-0.499984740745262"/>
      <name val="Aptos Narrow"/>
      <family val="2"/>
      <scheme val="minor"/>
    </font>
    <font>
      <sz val="11"/>
      <color rgb="FFFFC000"/>
      <name val="Aptos Narrow"/>
      <family val="2"/>
      <scheme val="minor"/>
    </font>
    <font>
      <b/>
      <sz val="11"/>
      <color rgb="FF00B05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5">
    <xf numFmtId="0" fontId="0" fillId="0" borderId="0" xfId="0"/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3" fontId="1" fillId="2" borderId="1" xfId="0" applyNumberFormat="1" applyFont="1" applyFill="1" applyBorder="1" applyAlignment="1" applyProtection="1">
      <alignment horizontal="center" vertical="center"/>
      <protection locked="0"/>
    </xf>
    <xf numFmtId="9" fontId="0" fillId="0" borderId="0" xfId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" fillId="0" borderId="1" xfId="0" quotePrefix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5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Alignment="1" applyProtection="1">
      <alignment horizontal="left" wrapText="1" indent="2"/>
      <protection hidden="1"/>
    </xf>
    <xf numFmtId="0" fontId="1" fillId="0" borderId="0" xfId="0" applyFont="1" applyAlignment="1" applyProtection="1">
      <alignment horizontal="left" vertical="center" wrapText="1" indent="2"/>
      <protection hidden="1"/>
    </xf>
    <xf numFmtId="0" fontId="0" fillId="0" borderId="0" xfId="0" applyAlignment="1" applyProtection="1">
      <alignment horizontal="left" wrapText="1" indent="2"/>
      <protection hidden="1"/>
    </xf>
    <xf numFmtId="0" fontId="0" fillId="0" borderId="5" xfId="0" quotePrefix="1" applyBorder="1" applyAlignment="1">
      <alignment horizontal="left" vertical="center" indent="1"/>
    </xf>
    <xf numFmtId="0" fontId="0" fillId="0" borderId="7" xfId="0" quotePrefix="1" applyBorder="1" applyAlignment="1">
      <alignment horizontal="left" vertical="center" indent="1"/>
    </xf>
    <xf numFmtId="0" fontId="0" fillId="0" borderId="3" xfId="0" quotePrefix="1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2452816</xdr:colOff>
      <xdr:row>2</xdr:row>
      <xdr:rowOff>3010729</xdr:rowOff>
    </xdr:from>
    <xdr:to>
      <xdr:col>0</xdr:col>
      <xdr:colOff>3544330</xdr:colOff>
      <xdr:row>2</xdr:row>
      <xdr:rowOff>3367089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E5F67F2-B814-405F-BDA2-5B3F49A9D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52816" y="4783207"/>
          <a:ext cx="1091514" cy="356360"/>
        </a:xfrm>
        <a:prstGeom prst="rect">
          <a:avLst/>
        </a:prstGeom>
      </xdr:spPr>
    </xdr:pic>
    <xdr:clientData/>
  </xdr:twoCellAnchor>
  <xdr:twoCellAnchor editAs="absolute">
    <xdr:from>
      <xdr:col>0</xdr:col>
      <xdr:colOff>1598545</xdr:colOff>
      <xdr:row>2</xdr:row>
      <xdr:rowOff>66260</xdr:rowOff>
    </xdr:from>
    <xdr:to>
      <xdr:col>0</xdr:col>
      <xdr:colOff>2263388</xdr:colOff>
      <xdr:row>2</xdr:row>
      <xdr:rowOff>455543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1881A32-E6B5-45CD-9501-D606B224D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98545" y="1838738"/>
          <a:ext cx="664843" cy="389283"/>
        </a:xfrm>
        <a:prstGeom prst="rect">
          <a:avLst/>
        </a:prstGeom>
      </xdr:spPr>
    </xdr:pic>
    <xdr:clientData/>
  </xdr:twoCellAnchor>
  <xdr:twoCellAnchor editAs="oneCell">
    <xdr:from>
      <xdr:col>0</xdr:col>
      <xdr:colOff>2575893</xdr:colOff>
      <xdr:row>1</xdr:row>
      <xdr:rowOff>438978</xdr:rowOff>
    </xdr:from>
    <xdr:to>
      <xdr:col>0</xdr:col>
      <xdr:colOff>5425109</xdr:colOff>
      <xdr:row>2</xdr:row>
      <xdr:rowOff>2013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AD992E8-5851-47CE-9664-EBBDD8CA6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75893" y="872366"/>
          <a:ext cx="2849216" cy="829860"/>
        </a:xfrm>
        <a:prstGeom prst="rect">
          <a:avLst/>
        </a:prstGeom>
      </xdr:spPr>
    </xdr:pic>
    <xdr:clientData/>
  </xdr:twoCellAnchor>
  <xdr:twoCellAnchor editAs="oneCell">
    <xdr:from>
      <xdr:col>0</xdr:col>
      <xdr:colOff>2811945</xdr:colOff>
      <xdr:row>2</xdr:row>
      <xdr:rowOff>1287048</xdr:rowOff>
    </xdr:from>
    <xdr:to>
      <xdr:col>0</xdr:col>
      <xdr:colOff>3520109</xdr:colOff>
      <xdr:row>2</xdr:row>
      <xdr:rowOff>1715517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B4FA4BC-1F84-23C9-B105-3AB8450DB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11945" y="3059526"/>
          <a:ext cx="708164" cy="428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730828</xdr:colOff>
      <xdr:row>0</xdr:row>
      <xdr:rowOff>197427</xdr:rowOff>
    </xdr:from>
    <xdr:to>
      <xdr:col>7</xdr:col>
      <xdr:colOff>436757</xdr:colOff>
      <xdr:row>3</xdr:row>
      <xdr:rowOff>25977</xdr:rowOff>
    </xdr:to>
    <xdr:sp macro="[0]!AssignCourierShifts_Auto_8Slo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ED7DEA4-1724-3882-EAA3-398B0BEE290F}"/>
            </a:ext>
          </a:extLst>
        </xdr:cNvPr>
        <xdr:cNvSpPr/>
      </xdr:nvSpPr>
      <xdr:spPr>
        <a:xfrm>
          <a:off x="5614555" y="197427"/>
          <a:ext cx="1481043" cy="426027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Generate Schedule</a:t>
          </a:r>
        </a:p>
      </xdr:txBody>
    </xdr:sp>
    <xdr:clientData/>
  </xdr:twoCellAnchor>
  <xdr:twoCellAnchor>
    <xdr:from>
      <xdr:col>3</xdr:col>
      <xdr:colOff>209550</xdr:colOff>
      <xdr:row>0</xdr:row>
      <xdr:rowOff>133350</xdr:rowOff>
    </xdr:from>
    <xdr:to>
      <xdr:col>4</xdr:col>
      <xdr:colOff>228600</xdr:colOff>
      <xdr:row>3</xdr:row>
      <xdr:rowOff>57150</xdr:rowOff>
    </xdr:to>
    <xdr:sp macro="[0]!Clear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46E83A8-F238-85CF-D68B-E93FA304D4A7}"/>
            </a:ext>
          </a:extLst>
        </xdr:cNvPr>
        <xdr:cNvSpPr/>
      </xdr:nvSpPr>
      <xdr:spPr>
        <a:xfrm>
          <a:off x="3019425" y="133350"/>
          <a:ext cx="904875" cy="523875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Clear</a:t>
          </a:r>
        </a:p>
      </xdr:txBody>
    </xdr:sp>
    <xdr:clientData/>
  </xdr:twoCellAnchor>
  <xdr:twoCellAnchor>
    <xdr:from>
      <xdr:col>4</xdr:col>
      <xdr:colOff>402647</xdr:colOff>
      <xdr:row>0</xdr:row>
      <xdr:rowOff>108240</xdr:rowOff>
    </xdr:from>
    <xdr:to>
      <xdr:col>5</xdr:col>
      <xdr:colOff>471921</xdr:colOff>
      <xdr:row>3</xdr:row>
      <xdr:rowOff>90922</xdr:rowOff>
    </xdr:to>
    <xdr:sp macro="[0]!MaxCourier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281280E-5FEE-97F4-3667-02585F7702AB}"/>
            </a:ext>
          </a:extLst>
        </xdr:cNvPr>
        <xdr:cNvSpPr/>
      </xdr:nvSpPr>
      <xdr:spPr>
        <a:xfrm>
          <a:off x="4398818" y="108240"/>
          <a:ext cx="956830" cy="580159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Maximum Capacity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6A3CB-C26A-498E-8C94-5330F504E09B}">
  <sheetPr codeName="Sheet2">
    <tabColor theme="0"/>
  </sheetPr>
  <dimension ref="A1:A4"/>
  <sheetViews>
    <sheetView showGridLines="0" showRowColHeaders="0" topLeftCell="A2" zoomScale="115" zoomScaleNormal="115" workbookViewId="0">
      <selection activeCell="A3" sqref="A3"/>
    </sheetView>
  </sheetViews>
  <sheetFormatPr defaultColWidth="0" defaultRowHeight="14.25" customHeight="1" zeroHeight="1" x14ac:dyDescent="0.25"/>
  <cols>
    <col min="1" max="1" width="123.140625" style="15" customWidth="1"/>
    <col min="2" max="16384" width="9.140625" style="15" hidden="1"/>
  </cols>
  <sheetData>
    <row r="1" spans="1:1" ht="34.5" x14ac:dyDescent="0.55000000000000004">
      <c r="A1" s="14" t="s">
        <v>9</v>
      </c>
    </row>
    <row r="2" spans="1:1" ht="105" x14ac:dyDescent="0.25">
      <c r="A2" s="16" t="s">
        <v>10</v>
      </c>
    </row>
    <row r="3" spans="1:1" ht="300" x14ac:dyDescent="0.25">
      <c r="A3" s="17" t="s">
        <v>57</v>
      </c>
    </row>
    <row r="4" spans="1:1" ht="120" x14ac:dyDescent="0.25">
      <c r="A4" s="18" t="s">
        <v>56</v>
      </c>
    </row>
  </sheetData>
  <sheetProtection algorithmName="SHA-512" hashValue="j9VbwWi491hu/s8ZErk4ZnRmZKlb1sqPD9lx+t0ewja2D6753rcAY0NCSt1huNuKZjILakCJ0qFvhcohO9puyA==" saltValue="xDSmlojUmGRH44Uxc9xbpQ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E88A-D993-4806-AF3B-7EC10888F660}">
  <sheetPr codeName="Sheet1"/>
  <dimension ref="A1:P43"/>
  <sheetViews>
    <sheetView showGridLines="0" tabSelected="1" zoomScale="110" zoomScaleNormal="110" workbookViewId="0">
      <selection activeCell="C8" sqref="C8"/>
    </sheetView>
  </sheetViews>
  <sheetFormatPr defaultColWidth="0" defaultRowHeight="15" x14ac:dyDescent="0.25"/>
  <cols>
    <col min="1" max="1" width="7.7109375" style="4" customWidth="1"/>
    <col min="2" max="2" width="25.5703125" style="9" customWidth="1"/>
    <col min="3" max="7" width="13.28515625" style="2" bestFit="1" customWidth="1"/>
    <col min="8" max="10" width="13.28515625" style="2" customWidth="1"/>
    <col min="11" max="11" width="3.28515625" style="2" customWidth="1"/>
    <col min="12" max="12" width="63.7109375" style="2" customWidth="1"/>
    <col min="13" max="13" width="16.140625" style="2" bestFit="1" customWidth="1"/>
    <col min="14" max="14" width="7" style="2" customWidth="1"/>
    <col min="15" max="15" width="7.7109375" style="4" customWidth="1"/>
    <col min="16" max="16" width="14.28515625" style="4" hidden="1" customWidth="1"/>
    <col min="17" max="16384" width="9.140625" style="4" hidden="1"/>
  </cols>
  <sheetData>
    <row r="1" spans="1:16" ht="15.75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6" ht="15.75" thickBot="1" x14ac:dyDescent="0.3">
      <c r="B2" s="10" t="s">
        <v>2</v>
      </c>
      <c r="C2" s="5">
        <v>20</v>
      </c>
      <c r="D2" s="4"/>
      <c r="E2" s="4"/>
      <c r="F2" s="4"/>
      <c r="G2" s="4"/>
      <c r="H2" s="4"/>
      <c r="I2" s="4"/>
      <c r="J2" s="4"/>
      <c r="K2" s="4"/>
      <c r="L2" s="13" t="s">
        <v>6</v>
      </c>
      <c r="M2" s="13" t="s">
        <v>7</v>
      </c>
      <c r="N2" s="4"/>
    </row>
    <row r="3" spans="1:16" ht="15.75" thickBot="1" x14ac:dyDescent="0.3">
      <c r="B3" s="10" t="s">
        <v>3</v>
      </c>
      <c r="C3" s="6">
        <v>20</v>
      </c>
      <c r="D3" s="4"/>
      <c r="E3" s="4"/>
      <c r="F3" s="4"/>
      <c r="G3" s="4"/>
      <c r="H3" s="4"/>
      <c r="I3" s="4"/>
      <c r="J3" s="4"/>
      <c r="K3" s="4"/>
      <c r="L3" s="21" t="s">
        <v>24</v>
      </c>
      <c r="M3" s="22">
        <f>COUNTIFS(C10:C1048576,"Shift 1",D10:D1048576,"Shift 2",G10:G1048576,"Shift 3",I10:I1048576,"Shift 4",J10:J1048576,"Shift 5")</f>
        <v>9</v>
      </c>
      <c r="N3" s="8">
        <f t="shared" ref="N3:N22" si="0">IFERROR(M3/$M$40,0)</f>
        <v>0.45</v>
      </c>
    </row>
    <row r="4" spans="1:16" ht="15.75" thickBot="1" x14ac:dyDescent="0.3">
      <c r="B4" s="11"/>
      <c r="C4" s="4"/>
      <c r="D4" s="4"/>
      <c r="E4" s="4"/>
      <c r="F4" s="4"/>
      <c r="G4" s="4"/>
      <c r="H4" s="4"/>
      <c r="I4" s="4"/>
      <c r="J4" s="4"/>
      <c r="K4" s="4"/>
      <c r="L4" s="19" t="s">
        <v>25</v>
      </c>
      <c r="M4" s="23">
        <f>COUNTIFS(C10:C1048576,"Shift 1",D10:D1048576,"Shift 2",G10:G1048576,"Shift 3",H10:H1048576,"Shift 4",J10:J1048576,"Shift 5")</f>
        <v>8</v>
      </c>
      <c r="N4" s="8">
        <f t="shared" si="0"/>
        <v>0.4</v>
      </c>
    </row>
    <row r="5" spans="1:16" ht="15.75" thickBot="1" x14ac:dyDescent="0.3">
      <c r="B5" s="10" t="s">
        <v>4</v>
      </c>
      <c r="C5" s="3">
        <v>18</v>
      </c>
      <c r="D5" s="3">
        <v>18</v>
      </c>
      <c r="E5" s="3">
        <v>1</v>
      </c>
      <c r="F5" s="3">
        <v>2</v>
      </c>
      <c r="G5" s="3">
        <v>19</v>
      </c>
      <c r="H5" s="3">
        <v>10</v>
      </c>
      <c r="I5" s="3">
        <v>9</v>
      </c>
      <c r="J5" s="3">
        <v>17</v>
      </c>
      <c r="L5" s="19" t="s">
        <v>26</v>
      </c>
      <c r="M5" s="23">
        <f>COUNTIFS(C10:C1048576,"Shift 1",D10:D1048576,"Shift 2",G10:G1048576,"Shift 3",H10:H1048576,"Shift 4",I10:I1048576,"Shift 5")</f>
        <v>0</v>
      </c>
      <c r="N5" s="8">
        <f t="shared" si="0"/>
        <v>0</v>
      </c>
    </row>
    <row r="6" spans="1:16" ht="15.75" thickBot="1" x14ac:dyDescent="0.3">
      <c r="B6" s="10" t="s">
        <v>5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L6" s="19" t="s">
        <v>23</v>
      </c>
      <c r="M6" s="23">
        <f>COUNTIFS(C10:C1048576,"Shift 1",D10:D1048576,"Shift 2",H10:H1048576,"Shift 3",I10:I1048576,"Shift 4",J10:J1048576,"Shift 5")</f>
        <v>0</v>
      </c>
      <c r="N6" s="8">
        <f t="shared" si="0"/>
        <v>0</v>
      </c>
    </row>
    <row r="7" spans="1:16" ht="15.75" thickBot="1" x14ac:dyDescent="0.3">
      <c r="B7" s="11"/>
      <c r="C7" s="12" t="s">
        <v>11</v>
      </c>
      <c r="D7" s="12" t="s">
        <v>12</v>
      </c>
      <c r="E7" s="12" t="s">
        <v>13</v>
      </c>
      <c r="F7" s="12" t="s">
        <v>14</v>
      </c>
      <c r="G7" s="12" t="s">
        <v>15</v>
      </c>
      <c r="H7" s="12" t="s">
        <v>16</v>
      </c>
      <c r="I7" s="12" t="s">
        <v>17</v>
      </c>
      <c r="J7" s="12" t="s">
        <v>18</v>
      </c>
      <c r="L7" s="19" t="s">
        <v>22</v>
      </c>
      <c r="M7" s="23">
        <f>COUNTIFS(C10:C1048576,"Shift 1",G10:G1048576,"Shift 2",H10:H1048576,"Shift 3",I10:I1048576,"Shift 4",J10:J1048576,"Shift 5")</f>
        <v>0</v>
      </c>
      <c r="N7" s="8">
        <f t="shared" si="0"/>
        <v>0</v>
      </c>
    </row>
    <row r="8" spans="1:16" ht="15.75" thickBot="1" x14ac:dyDescent="0.3">
      <c r="B8" s="10" t="s">
        <v>0</v>
      </c>
      <c r="C8" s="7">
        <v>18</v>
      </c>
      <c r="D8" s="7">
        <v>18</v>
      </c>
      <c r="E8" s="7">
        <v>1</v>
      </c>
      <c r="F8" s="7">
        <v>2</v>
      </c>
      <c r="G8" s="7">
        <v>19</v>
      </c>
      <c r="H8" s="7">
        <v>10</v>
      </c>
      <c r="I8" s="7">
        <v>9</v>
      </c>
      <c r="J8" s="7">
        <v>17</v>
      </c>
      <c r="L8" s="19" t="s">
        <v>21</v>
      </c>
      <c r="M8" s="23">
        <f>COUNTIFS(D10:D1048576,"Shift 1",G10:G1048576,"Shift 2",H10:H1048576,"Shift 3",I10:I1048576,"Shift 4",J10:J1048576,"Shift 5")</f>
        <v>0</v>
      </c>
      <c r="N8" s="8">
        <f t="shared" si="0"/>
        <v>0</v>
      </c>
    </row>
    <row r="9" spans="1:16" ht="15.75" thickBot="1" x14ac:dyDescent="0.3">
      <c r="A9" s="1"/>
      <c r="B9" s="10" t="s">
        <v>1</v>
      </c>
      <c r="C9" s="7">
        <v>18</v>
      </c>
      <c r="D9" s="7">
        <v>18</v>
      </c>
      <c r="E9" s="7">
        <v>1</v>
      </c>
      <c r="F9" s="7">
        <v>2</v>
      </c>
      <c r="G9" s="7">
        <v>19</v>
      </c>
      <c r="H9" s="7">
        <v>10</v>
      </c>
      <c r="I9" s="7">
        <v>9</v>
      </c>
      <c r="J9" s="7">
        <v>17</v>
      </c>
      <c r="L9" s="19" t="s">
        <v>19</v>
      </c>
      <c r="M9" s="23">
        <f>COUNTIFS(C10:C1048576,"Shift 1",D10:D1048576,"Shift 2",E10:E1048576,"Shift 3")</f>
        <v>1</v>
      </c>
      <c r="N9" s="8">
        <f t="shared" si="0"/>
        <v>0.05</v>
      </c>
      <c r="O9" s="1"/>
      <c r="P9" s="1"/>
    </row>
    <row r="10" spans="1:16" x14ac:dyDescent="0.25">
      <c r="B10" s="9" t="str" cm="1">
        <f t="array" ref="B10:B29">IF($C$3="","", "Courier "&amp;_xlfn.SEQUENCE($C$3,1,1,1))</f>
        <v>Courier 1</v>
      </c>
      <c r="C10" s="9" t="s">
        <v>58</v>
      </c>
      <c r="D10" s="9" t="s">
        <v>59</v>
      </c>
      <c r="E10" s="9"/>
      <c r="F10" s="9"/>
      <c r="G10" s="9" t="s">
        <v>60</v>
      </c>
      <c r="H10" s="9"/>
      <c r="I10" s="9" t="s">
        <v>61</v>
      </c>
      <c r="J10" s="9" t="s">
        <v>62</v>
      </c>
      <c r="L10" s="19" t="s">
        <v>20</v>
      </c>
      <c r="M10" s="23">
        <f>COUNTIFS(C10:C1048576,"Shift 1",D10:D1048576,"Shift 2",F10:F1048576,"Shift 3")</f>
        <v>0</v>
      </c>
      <c r="N10" s="8">
        <f t="shared" si="0"/>
        <v>0</v>
      </c>
    </row>
    <row r="11" spans="1:16" x14ac:dyDescent="0.25">
      <c r="B11" s="9" t="str">
        <v>Courier 2</v>
      </c>
      <c r="C11" s="9" t="s">
        <v>58</v>
      </c>
      <c r="D11" s="9" t="s">
        <v>59</v>
      </c>
      <c r="E11" s="9"/>
      <c r="F11" s="9"/>
      <c r="G11" s="9" t="s">
        <v>60</v>
      </c>
      <c r="H11" s="9"/>
      <c r="I11" s="9" t="s">
        <v>61</v>
      </c>
      <c r="J11" s="9" t="s">
        <v>62</v>
      </c>
      <c r="L11" s="19" t="s">
        <v>45</v>
      </c>
      <c r="M11" s="23">
        <f>COUNTIFS(F10:F1048576,"Shift 1",G10:G1048576,"Shift 2",H10:H1048576,"Shift 3")</f>
        <v>2</v>
      </c>
      <c r="N11" s="8">
        <f t="shared" si="0"/>
        <v>0.1</v>
      </c>
    </row>
    <row r="12" spans="1:16" x14ac:dyDescent="0.25">
      <c r="B12" s="9" t="str">
        <v>Courier 3</v>
      </c>
      <c r="C12" s="9" t="s">
        <v>58</v>
      </c>
      <c r="D12" s="9" t="s">
        <v>59</v>
      </c>
      <c r="E12" s="9"/>
      <c r="F12" s="9"/>
      <c r="G12" s="9" t="s">
        <v>60</v>
      </c>
      <c r="H12" s="9"/>
      <c r="I12" s="9" t="s">
        <v>61</v>
      </c>
      <c r="J12" s="9" t="s">
        <v>62</v>
      </c>
      <c r="L12" s="19" t="s">
        <v>34</v>
      </c>
      <c r="M12" s="23">
        <f>COUNTIFS(C10:C1048576,"Shift 1",E10:E1048576,"Shift 2",J10:J1048576,"Shift 3")</f>
        <v>0</v>
      </c>
      <c r="N12" s="8">
        <f t="shared" si="0"/>
        <v>0</v>
      </c>
    </row>
    <row r="13" spans="1:16" x14ac:dyDescent="0.25">
      <c r="B13" s="9" t="str">
        <v>Courier 4</v>
      </c>
      <c r="C13" s="9" t="s">
        <v>58</v>
      </c>
      <c r="D13" s="9" t="s">
        <v>59</v>
      </c>
      <c r="E13" s="9"/>
      <c r="F13" s="9"/>
      <c r="G13" s="9" t="s">
        <v>60</v>
      </c>
      <c r="H13" s="9"/>
      <c r="I13" s="9" t="s">
        <v>61</v>
      </c>
      <c r="J13" s="9" t="s">
        <v>62</v>
      </c>
      <c r="L13" s="19" t="s">
        <v>42</v>
      </c>
      <c r="M13" s="23">
        <f>COUNTIFS(D10:D1048576,"Shift 1",E10:E1048576,"Shift 2",J10:J1048576,"Shift 3")</f>
        <v>0</v>
      </c>
      <c r="N13" s="8">
        <f t="shared" si="0"/>
        <v>0</v>
      </c>
    </row>
    <row r="14" spans="1:16" x14ac:dyDescent="0.25">
      <c r="B14" s="9" t="str">
        <v>Courier 5</v>
      </c>
      <c r="C14" s="9" t="s">
        <v>58</v>
      </c>
      <c r="D14" s="9" t="s">
        <v>59</v>
      </c>
      <c r="E14" s="9"/>
      <c r="F14" s="9"/>
      <c r="G14" s="9" t="s">
        <v>60</v>
      </c>
      <c r="H14" s="9"/>
      <c r="I14" s="9" t="s">
        <v>61</v>
      </c>
      <c r="J14" s="9" t="s">
        <v>62</v>
      </c>
      <c r="L14" s="19" t="s">
        <v>49</v>
      </c>
      <c r="M14" s="23">
        <f>COUNTIFS(F10:F1048576,"Shift 1",G10:G1048576,"Shift 2",J10:J1048576,"Shift 3")</f>
        <v>0</v>
      </c>
      <c r="N14" s="8">
        <f t="shared" si="0"/>
        <v>0</v>
      </c>
    </row>
    <row r="15" spans="1:16" x14ac:dyDescent="0.25">
      <c r="B15" s="9" t="str">
        <v>Courier 6</v>
      </c>
      <c r="C15" s="9" t="s">
        <v>58</v>
      </c>
      <c r="D15" s="9" t="s">
        <v>59</v>
      </c>
      <c r="E15" s="9"/>
      <c r="F15" s="9"/>
      <c r="G15" s="9" t="s">
        <v>60</v>
      </c>
      <c r="H15" s="9"/>
      <c r="I15" s="9" t="s">
        <v>61</v>
      </c>
      <c r="J15" s="9" t="s">
        <v>62</v>
      </c>
      <c r="L15" s="19" t="s">
        <v>36</v>
      </c>
      <c r="M15" s="23">
        <f>COUNTIFS(D10:D1048576,"Shift 1",E10:E1048576,"Shift 2",G10:G1048576,"Shift 3")</f>
        <v>0</v>
      </c>
      <c r="N15" s="8">
        <f t="shared" si="0"/>
        <v>0</v>
      </c>
    </row>
    <row r="16" spans="1:16" x14ac:dyDescent="0.25">
      <c r="B16" s="9" t="str">
        <v>Courier 7</v>
      </c>
      <c r="C16" s="9" t="s">
        <v>58</v>
      </c>
      <c r="D16" s="9" t="s">
        <v>59</v>
      </c>
      <c r="E16" s="9"/>
      <c r="F16" s="9"/>
      <c r="G16" s="9" t="s">
        <v>60</v>
      </c>
      <c r="H16" s="9"/>
      <c r="I16" s="9" t="s">
        <v>61</v>
      </c>
      <c r="J16" s="9" t="s">
        <v>62</v>
      </c>
      <c r="L16" s="19" t="s">
        <v>43</v>
      </c>
      <c r="M16" s="23">
        <f>COUNTIFS(D10:D1048576,"Shift 1",F10:F1048576,"Shift 2",J10:J1048576,"Shift 3")</f>
        <v>0</v>
      </c>
      <c r="N16" s="8">
        <f t="shared" si="0"/>
        <v>0</v>
      </c>
    </row>
    <row r="17" spans="2:14" x14ac:dyDescent="0.25">
      <c r="B17" s="9" t="str">
        <v>Courier 8</v>
      </c>
      <c r="C17" s="9" t="s">
        <v>58</v>
      </c>
      <c r="D17" s="9" t="s">
        <v>59</v>
      </c>
      <c r="E17" s="9"/>
      <c r="F17" s="9"/>
      <c r="G17" s="9" t="s">
        <v>60</v>
      </c>
      <c r="H17" s="9"/>
      <c r="I17" s="9" t="s">
        <v>61</v>
      </c>
      <c r="J17" s="9" t="s">
        <v>62</v>
      </c>
      <c r="L17" s="19" t="s">
        <v>47</v>
      </c>
      <c r="M17" s="23">
        <f>COUNTIFS(F10:F1048576,"Shift 1",G10:G1048576,"Shift 2",I10:I1048576,"Shift 3")</f>
        <v>0</v>
      </c>
      <c r="N17" s="8">
        <f t="shared" si="0"/>
        <v>0</v>
      </c>
    </row>
    <row r="18" spans="2:14" x14ac:dyDescent="0.25">
      <c r="B18" s="9" t="str">
        <v>Courier 9</v>
      </c>
      <c r="C18" s="9" t="s">
        <v>58</v>
      </c>
      <c r="D18" s="9" t="s">
        <v>59</v>
      </c>
      <c r="E18" s="9"/>
      <c r="F18" s="9"/>
      <c r="G18" s="9" t="s">
        <v>60</v>
      </c>
      <c r="H18" s="9"/>
      <c r="I18" s="9" t="s">
        <v>61</v>
      </c>
      <c r="J18" s="9" t="s">
        <v>62</v>
      </c>
      <c r="L18" s="19" t="s">
        <v>51</v>
      </c>
      <c r="M18" s="23">
        <f>COUNTIFS(F10:F1048576,"Shift 1",H10:H1048576,"Shift 2",I10:I1048576,"Shift 3")</f>
        <v>0</v>
      </c>
      <c r="N18" s="8">
        <f t="shared" si="0"/>
        <v>0</v>
      </c>
    </row>
    <row r="19" spans="2:14" x14ac:dyDescent="0.25">
      <c r="B19" s="9" t="str">
        <v>Courier 10</v>
      </c>
      <c r="C19" s="9" t="s">
        <v>58</v>
      </c>
      <c r="D19" s="9" t="s">
        <v>59</v>
      </c>
      <c r="E19" s="9"/>
      <c r="F19" s="9"/>
      <c r="G19" s="9" t="s">
        <v>60</v>
      </c>
      <c r="H19" s="9" t="s">
        <v>61</v>
      </c>
      <c r="I19" s="9"/>
      <c r="J19" s="9" t="s">
        <v>62</v>
      </c>
      <c r="L19" s="19" t="s">
        <v>53</v>
      </c>
      <c r="M19" s="23">
        <f>COUNTIFS(F10:F1048576,"Shift 1",H10:H1048576,"Shift 2",J10:J1048576,"Shift 3")</f>
        <v>0</v>
      </c>
      <c r="N19" s="8">
        <f t="shared" si="0"/>
        <v>0</v>
      </c>
    </row>
    <row r="20" spans="2:14" x14ac:dyDescent="0.25">
      <c r="B20" s="9" t="str">
        <v>Courier 11</v>
      </c>
      <c r="C20" s="9" t="s">
        <v>58</v>
      </c>
      <c r="D20" s="9" t="s">
        <v>59</v>
      </c>
      <c r="E20" s="9"/>
      <c r="F20" s="9"/>
      <c r="G20" s="9" t="s">
        <v>60</v>
      </c>
      <c r="H20" s="9" t="s">
        <v>61</v>
      </c>
      <c r="I20" s="9"/>
      <c r="J20" s="9" t="s">
        <v>62</v>
      </c>
      <c r="L20" s="19" t="s">
        <v>55</v>
      </c>
      <c r="M20" s="23">
        <f>COUNTIFS(F10:F1048576,"Shift 1",I10:I1048576,"Shift 2",J10:J1048576,"Shift 3")</f>
        <v>0</v>
      </c>
      <c r="N20" s="8">
        <f t="shared" si="0"/>
        <v>0</v>
      </c>
    </row>
    <row r="21" spans="2:14" x14ac:dyDescent="0.25">
      <c r="B21" s="9" t="str">
        <v>Courier 12</v>
      </c>
      <c r="C21" s="9" t="s">
        <v>58</v>
      </c>
      <c r="D21" s="9" t="s">
        <v>59</v>
      </c>
      <c r="E21" s="9"/>
      <c r="F21" s="9"/>
      <c r="G21" s="9" t="s">
        <v>60</v>
      </c>
      <c r="H21" s="9" t="s">
        <v>61</v>
      </c>
      <c r="I21" s="9"/>
      <c r="J21" s="9" t="s">
        <v>62</v>
      </c>
      <c r="L21" s="19" t="s">
        <v>40</v>
      </c>
      <c r="M21" s="23">
        <f>COUNTIFS(D10:D1048576,"Shift 1",E10:E1048576,"Shift 2",I10:I1048576,"Shift 3")</f>
        <v>0</v>
      </c>
      <c r="N21" s="8">
        <f t="shared" si="0"/>
        <v>0</v>
      </c>
    </row>
    <row r="22" spans="2:14" x14ac:dyDescent="0.25">
      <c r="B22" s="9" t="str">
        <v>Courier 13</v>
      </c>
      <c r="C22" s="9" t="s">
        <v>58</v>
      </c>
      <c r="D22" s="9" t="s">
        <v>59</v>
      </c>
      <c r="E22" s="9"/>
      <c r="F22" s="9"/>
      <c r="G22" s="9" t="s">
        <v>60</v>
      </c>
      <c r="H22" s="9" t="s">
        <v>61</v>
      </c>
      <c r="I22" s="9"/>
      <c r="J22" s="9" t="s">
        <v>62</v>
      </c>
      <c r="L22" s="19" t="s">
        <v>37</v>
      </c>
      <c r="M22" s="23">
        <f>COUNTIFS(D10:D1048576,"Shift 1",F10:F1048576,"Shift 2",G10:G1048576,"Shift 3")</f>
        <v>0</v>
      </c>
      <c r="N22" s="8">
        <f t="shared" si="0"/>
        <v>0</v>
      </c>
    </row>
    <row r="23" spans="2:14" x14ac:dyDescent="0.25">
      <c r="B23" s="9" t="str">
        <v>Courier 14</v>
      </c>
      <c r="C23" s="9" t="s">
        <v>58</v>
      </c>
      <c r="D23" s="9" t="s">
        <v>59</v>
      </c>
      <c r="E23" s="9"/>
      <c r="F23" s="9"/>
      <c r="G23" s="9" t="s">
        <v>60</v>
      </c>
      <c r="H23" s="9" t="s">
        <v>61</v>
      </c>
      <c r="I23" s="9"/>
      <c r="J23" s="9" t="s">
        <v>62</v>
      </c>
      <c r="L23" s="19" t="s">
        <v>44</v>
      </c>
      <c r="M23" s="23">
        <f>COUNTIFS(E10:E1048576,"Shift 1",G10:G1048576,"Shift 2",H10:H1048576,"Shift 3")</f>
        <v>0</v>
      </c>
      <c r="N23" s="8">
        <f t="shared" ref="N23:N39" si="1">IFERROR(M23/$M$40,0)</f>
        <v>0</v>
      </c>
    </row>
    <row r="24" spans="2:14" x14ac:dyDescent="0.25">
      <c r="B24" s="9" t="str">
        <v>Courier 15</v>
      </c>
      <c r="C24" s="9" t="s">
        <v>58</v>
      </c>
      <c r="D24" s="9" t="s">
        <v>59</v>
      </c>
      <c r="E24" s="9"/>
      <c r="F24" s="9"/>
      <c r="G24" s="9" t="s">
        <v>60</v>
      </c>
      <c r="H24" s="9" t="s">
        <v>61</v>
      </c>
      <c r="I24" s="9"/>
      <c r="J24" s="9" t="s">
        <v>62</v>
      </c>
      <c r="L24" s="19" t="s">
        <v>38</v>
      </c>
      <c r="M24" s="23">
        <f>COUNTIFS(D10:D1048576,"Shift 1",E10:E1048576,"Shift 2",H10:H1048576,"Shift 3")</f>
        <v>0</v>
      </c>
      <c r="N24" s="8">
        <f t="shared" si="1"/>
        <v>0</v>
      </c>
    </row>
    <row r="25" spans="2:14" x14ac:dyDescent="0.25">
      <c r="B25" s="9" t="str">
        <v>Courier 16</v>
      </c>
      <c r="C25" s="9" t="s">
        <v>58</v>
      </c>
      <c r="D25" s="9" t="s">
        <v>59</v>
      </c>
      <c r="E25" s="9"/>
      <c r="F25" s="9"/>
      <c r="G25" s="9" t="s">
        <v>60</v>
      </c>
      <c r="H25" s="9" t="s">
        <v>61</v>
      </c>
      <c r="I25" s="9"/>
      <c r="J25" s="9" t="s">
        <v>62</v>
      </c>
      <c r="L25" s="19" t="s">
        <v>50</v>
      </c>
      <c r="M25" s="23">
        <f>COUNTIFS(E10:E1048576,"Shift 1",H10:H1048576,"Shift 2",I10:I1048576,"Shift 3")</f>
        <v>0</v>
      </c>
      <c r="N25" s="8">
        <f t="shared" si="1"/>
        <v>0</v>
      </c>
    </row>
    <row r="26" spans="2:14" x14ac:dyDescent="0.25">
      <c r="B26" s="9" t="str">
        <v>Courier 17</v>
      </c>
      <c r="C26" s="9" t="s">
        <v>58</v>
      </c>
      <c r="D26" s="9" t="s">
        <v>59</v>
      </c>
      <c r="E26" s="9"/>
      <c r="F26" s="9"/>
      <c r="G26" s="9" t="s">
        <v>60</v>
      </c>
      <c r="H26" s="9" t="s">
        <v>61</v>
      </c>
      <c r="I26" s="9"/>
      <c r="J26" s="9" t="s">
        <v>62</v>
      </c>
      <c r="L26" s="19" t="s">
        <v>28</v>
      </c>
      <c r="M26" s="23">
        <f>COUNTIFS(C10:C1048576,"Shift 1",F10:F1048576,"Shift 2",G10:G1048576,"Shift 3")</f>
        <v>0</v>
      </c>
      <c r="N26" s="8">
        <f t="shared" si="1"/>
        <v>0</v>
      </c>
    </row>
    <row r="27" spans="2:14" x14ac:dyDescent="0.25">
      <c r="B27" s="9" t="str">
        <v>Courier 18</v>
      </c>
      <c r="C27" s="9" t="s">
        <v>58</v>
      </c>
      <c r="D27" s="9" t="s">
        <v>59</v>
      </c>
      <c r="E27" s="9" t="s">
        <v>60</v>
      </c>
      <c r="F27" s="9"/>
      <c r="G27" s="9"/>
      <c r="H27" s="9"/>
      <c r="I27" s="9"/>
      <c r="J27" s="9"/>
      <c r="L27" s="19" t="s">
        <v>46</v>
      </c>
      <c r="M27" s="23">
        <f>COUNTIFS(E10:E1048576,"Shift 1",G10:G1048576,"Shift 2",I10:I1048576,"Shift 3")</f>
        <v>0</v>
      </c>
      <c r="N27" s="8">
        <f t="shared" si="1"/>
        <v>0</v>
      </c>
    </row>
    <row r="28" spans="2:14" x14ac:dyDescent="0.25">
      <c r="B28" s="9" t="str">
        <v>Courier 19</v>
      </c>
      <c r="C28" s="9"/>
      <c r="D28" s="9"/>
      <c r="E28" s="9"/>
      <c r="F28" s="9" t="s">
        <v>58</v>
      </c>
      <c r="G28" s="9" t="s">
        <v>59</v>
      </c>
      <c r="H28" s="9" t="s">
        <v>60</v>
      </c>
      <c r="I28" s="9"/>
      <c r="J28" s="9"/>
      <c r="L28" s="19" t="s">
        <v>29</v>
      </c>
      <c r="M28" s="23">
        <f>COUNTIFS(C10:C1048576,"Shift 1",E10:E1048576,"Shift 2",G10:G1048576,"Shift 3")</f>
        <v>0</v>
      </c>
      <c r="N28" s="8">
        <f t="shared" si="1"/>
        <v>0</v>
      </c>
    </row>
    <row r="29" spans="2:14" x14ac:dyDescent="0.25">
      <c r="B29" s="9" t="str">
        <v>Courier 20</v>
      </c>
      <c r="C29" s="9"/>
      <c r="D29" s="9"/>
      <c r="E29" s="9"/>
      <c r="F29" s="9" t="s">
        <v>58</v>
      </c>
      <c r="G29" s="9" t="s">
        <v>59</v>
      </c>
      <c r="H29" s="9" t="s">
        <v>60</v>
      </c>
      <c r="I29" s="9"/>
      <c r="J29" s="9"/>
      <c r="L29" s="19" t="s">
        <v>39</v>
      </c>
      <c r="M29" s="23">
        <f>COUNTIFS(D10:D1048576,"Shift 1",F10:F1048576,"Shift 2",H10:H1048576,"Shift 3")</f>
        <v>0</v>
      </c>
      <c r="N29" s="8">
        <f t="shared" si="1"/>
        <v>0</v>
      </c>
    </row>
    <row r="30" spans="2:14" x14ac:dyDescent="0.25">
      <c r="C30" s="9"/>
      <c r="D30" s="9"/>
      <c r="E30" s="9"/>
      <c r="F30" s="9"/>
      <c r="G30" s="9"/>
      <c r="H30" s="9"/>
      <c r="I30" s="9"/>
      <c r="J30" s="9"/>
      <c r="L30" s="19" t="s">
        <v>31</v>
      </c>
      <c r="M30" s="23">
        <f>COUNTIFS(C10:C1048576,"Shift 1",F10:F1048576,"Shift 2",H10:H1048576,"Shift 3")</f>
        <v>0</v>
      </c>
      <c r="N30" s="8">
        <f t="shared" si="1"/>
        <v>0</v>
      </c>
    </row>
    <row r="31" spans="2:14" x14ac:dyDescent="0.25">
      <c r="C31" s="9"/>
      <c r="D31" s="9"/>
      <c r="E31" s="9"/>
      <c r="F31" s="9"/>
      <c r="G31" s="9"/>
      <c r="H31" s="9"/>
      <c r="I31" s="9"/>
      <c r="J31" s="9"/>
      <c r="L31" s="19" t="s">
        <v>52</v>
      </c>
      <c r="M31" s="23">
        <f>COUNTIFS(E10:E1048576,"Shift 1",H10:H1048576,"Shift 2",J10:J1048576,"Shift 3")</f>
        <v>0</v>
      </c>
      <c r="N31" s="8">
        <f t="shared" si="1"/>
        <v>0</v>
      </c>
    </row>
    <row r="32" spans="2:14" x14ac:dyDescent="0.25">
      <c r="C32" s="9"/>
      <c r="D32" s="9"/>
      <c r="E32" s="9"/>
      <c r="F32" s="9"/>
      <c r="G32" s="9"/>
      <c r="H32" s="9"/>
      <c r="I32" s="9"/>
      <c r="J32" s="9"/>
      <c r="L32" s="19" t="s">
        <v>54</v>
      </c>
      <c r="M32" s="23">
        <f>COUNTIFS(E10:E1048576,"Shift 1",I10:I1048576,"Shift 2",J10:J1048576,"Shift 3")</f>
        <v>0</v>
      </c>
      <c r="N32" s="8">
        <f t="shared" si="1"/>
        <v>0</v>
      </c>
    </row>
    <row r="33" spans="3:14" x14ac:dyDescent="0.25">
      <c r="C33" s="9"/>
      <c r="D33" s="9"/>
      <c r="E33" s="9"/>
      <c r="F33" s="9"/>
      <c r="G33" s="9"/>
      <c r="H33" s="9"/>
      <c r="I33" s="9"/>
      <c r="J33" s="9"/>
      <c r="L33" s="19" t="s">
        <v>48</v>
      </c>
      <c r="M33" s="23">
        <f>COUNTIFS(E10:E1048576,"Shift 1",G10:G1048576,"Shift 2",J10:J1048576,"Shift 3")</f>
        <v>0</v>
      </c>
      <c r="N33" s="8">
        <f t="shared" si="1"/>
        <v>0</v>
      </c>
    </row>
    <row r="34" spans="3:14" x14ac:dyDescent="0.25">
      <c r="C34" s="9"/>
      <c r="D34" s="9"/>
      <c r="E34" s="9"/>
      <c r="F34" s="9"/>
      <c r="G34" s="9"/>
      <c r="H34" s="9"/>
      <c r="I34" s="9"/>
      <c r="J34" s="9"/>
      <c r="L34" s="19" t="s">
        <v>33</v>
      </c>
      <c r="M34" s="23">
        <f>COUNTIFS(C10:C1048576,"Shift 1",F10:F1048576,"Shift 2",I10:I1048576,"Shift 3")</f>
        <v>0</v>
      </c>
      <c r="N34" s="8">
        <f t="shared" si="1"/>
        <v>0</v>
      </c>
    </row>
    <row r="35" spans="3:14" x14ac:dyDescent="0.25">
      <c r="C35" s="9"/>
      <c r="D35" s="9"/>
      <c r="E35" s="9"/>
      <c r="F35" s="9"/>
      <c r="G35" s="9"/>
      <c r="H35" s="9"/>
      <c r="I35" s="9"/>
      <c r="J35" s="9"/>
      <c r="L35" s="19" t="s">
        <v>35</v>
      </c>
      <c r="M35" s="23">
        <f>COUNTIFS(C10:C1048576,"Shift 1",F10:F1048576,"Shift 2",J10:J1048576,"Shift 3")</f>
        <v>0</v>
      </c>
      <c r="N35" s="8">
        <f t="shared" si="1"/>
        <v>0</v>
      </c>
    </row>
    <row r="36" spans="3:14" x14ac:dyDescent="0.25">
      <c r="C36" s="9"/>
      <c r="D36" s="9"/>
      <c r="E36" s="9"/>
      <c r="F36" s="9"/>
      <c r="G36" s="9"/>
      <c r="H36" s="9"/>
      <c r="I36" s="9"/>
      <c r="J36" s="9"/>
      <c r="L36" s="19" t="s">
        <v>32</v>
      </c>
      <c r="M36" s="23">
        <f>COUNTIFS(C10:C1048576,"Shift 1",E10:E1048576,"Shift 2",I10:I1048576,"Shift 3")</f>
        <v>0</v>
      </c>
      <c r="N36" s="8">
        <f t="shared" si="1"/>
        <v>0</v>
      </c>
    </row>
    <row r="37" spans="3:14" x14ac:dyDescent="0.25">
      <c r="C37" s="9"/>
      <c r="D37" s="9"/>
      <c r="E37" s="9"/>
      <c r="F37" s="9"/>
      <c r="G37" s="9"/>
      <c r="H37" s="9"/>
      <c r="I37" s="9"/>
      <c r="J37" s="9"/>
      <c r="L37" s="19" t="s">
        <v>30</v>
      </c>
      <c r="M37" s="23">
        <f>COUNTIFS(C10:C1048576,"Shift 1",E10:E1048576,"Shift 2",H10:H1048576,"Shift 3")</f>
        <v>0</v>
      </c>
      <c r="N37" s="8">
        <f t="shared" si="1"/>
        <v>0</v>
      </c>
    </row>
    <row r="38" spans="3:14" x14ac:dyDescent="0.25">
      <c r="C38" s="9"/>
      <c r="D38" s="9"/>
      <c r="E38" s="9"/>
      <c r="F38" s="9"/>
      <c r="G38" s="9"/>
      <c r="H38" s="9"/>
      <c r="I38" s="9"/>
      <c r="J38" s="9"/>
      <c r="L38" s="19" t="s">
        <v>41</v>
      </c>
      <c r="M38" s="23">
        <f>COUNTIFS(D10:D1048576,"Shift 1",F10:F1048576,"Shift 2",I10:I1048576,"Shift 3")</f>
        <v>0</v>
      </c>
      <c r="N38" s="8">
        <f t="shared" si="1"/>
        <v>0</v>
      </c>
    </row>
    <row r="39" spans="3:14" ht="15.75" thickBot="1" x14ac:dyDescent="0.3">
      <c r="C39" s="9"/>
      <c r="D39" s="9"/>
      <c r="E39" s="9"/>
      <c r="F39" s="9"/>
      <c r="G39" s="9"/>
      <c r="H39" s="9"/>
      <c r="I39" s="9"/>
      <c r="J39" s="9"/>
      <c r="L39" s="20" t="s">
        <v>27</v>
      </c>
      <c r="M39" s="24">
        <f>COUNTIFS(E10:E1048576,"Shift 1",F10:F1048576,"Shift 2")</f>
        <v>0</v>
      </c>
      <c r="N39" s="8">
        <f t="shared" si="1"/>
        <v>0</v>
      </c>
    </row>
    <row r="40" spans="3:14" x14ac:dyDescent="0.25">
      <c r="C40" s="9"/>
      <c r="D40" s="9"/>
      <c r="E40" s="9"/>
      <c r="F40" s="9"/>
      <c r="G40" s="9"/>
      <c r="H40" s="9"/>
      <c r="I40" s="9"/>
      <c r="J40" s="9"/>
      <c r="L40" s="3" t="s">
        <v>8</v>
      </c>
      <c r="M40" s="3">
        <f>SUM(M3:M39)</f>
        <v>20</v>
      </c>
    </row>
    <row r="41" spans="3:14" x14ac:dyDescent="0.25">
      <c r="C41" s="9"/>
      <c r="D41" s="9"/>
      <c r="E41" s="9"/>
      <c r="F41" s="9"/>
      <c r="G41" s="9"/>
      <c r="H41" s="9"/>
      <c r="I41" s="9"/>
      <c r="J41" s="9"/>
    </row>
    <row r="42" spans="3:14" x14ac:dyDescent="0.25">
      <c r="C42" s="9"/>
      <c r="D42" s="9"/>
      <c r="E42" s="9"/>
      <c r="F42" s="9"/>
      <c r="G42" s="9"/>
      <c r="H42" s="9"/>
      <c r="I42" s="9"/>
      <c r="J42" s="9"/>
    </row>
    <row r="43" spans="3:14" x14ac:dyDescent="0.25">
      <c r="C43" s="9"/>
      <c r="D43" s="9"/>
      <c r="E43" s="9"/>
      <c r="F43" s="9"/>
      <c r="G43" s="9"/>
      <c r="H43" s="9"/>
      <c r="I43" s="9"/>
      <c r="J43" s="9"/>
    </row>
  </sheetData>
  <sheetProtection algorithmName="SHA-512" hashValue="CdCUHiEbnRG3JKebQADgn0swlIesnhQfNbUoxxgd3YuFy1kl3xRH9sUMjVqzIpuygrOoqCdUxVmcHa7zrDA0+w==" saltValue="22jzwEgvmwo4zGg89lE7Qg==" spinCount="100000" sheet="1" objects="1" scenarios="1" selectLockedCells="1"/>
  <phoneticPr fontId="2" type="noConversion"/>
  <dataValidations count="3">
    <dataValidation type="custom" allowBlank="1" showInputMessage="1" showErrorMessage="1" errorTitle="Error" error="Scheduled Couriers Must be Lees than or equal to Maximum Capacity" sqref="C3" xr:uid="{A4638B2A-5801-4498-AE5E-A126C4442AEB}">
      <formula1>$C$3&lt;=$C$2</formula1>
    </dataValidation>
    <dataValidation type="custom" allowBlank="1" showInputMessage="1" showErrorMessage="1" errorTitle="Error" error="Trget Couriers must be Less than or equal Max. Scheduled Couriers" sqref="C8:J8" xr:uid="{FFC4F99C-C0A6-400A-9EF7-65F28AAF56B7}">
      <formula1>C8&lt;=C9</formula1>
    </dataValidation>
    <dataValidation type="custom" allowBlank="1" showInputMessage="1" showErrorMessage="1" errorTitle="Error" error="Max. Scheduled Couriers must be More than or equal Target " sqref="C9:J9" xr:uid="{DD753C02-F46E-4F07-BA89-257BC4919073}">
      <formula1>C9&gt;=C8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How to Use</vt:lpstr>
      <vt:lpstr>Shifts Scheduling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Abdullah Aldweik</dc:creator>
  <cp:lastModifiedBy>ahmed ghazall</cp:lastModifiedBy>
  <dcterms:created xsi:type="dcterms:W3CDTF">2025-10-04T14:30:25Z</dcterms:created>
  <dcterms:modified xsi:type="dcterms:W3CDTF">2026-03-07T14:24:17Z</dcterms:modified>
</cp:coreProperties>
</file>